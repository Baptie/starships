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e" sheetId="1" state="visible" r:id="rId3"/>
    <sheet name="Statistiques" sheetId="2" state="visible" r:id="rId4"/>
    <sheet name="Evenements" sheetId="3" state="visible" r:id="rId5"/>
    <sheet name="Simulateur" sheetId="4" state="visible" r:id="rId6"/>
    <sheet name="Plane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<sst xmlns="http://schemas.openxmlformats.org/spreadsheetml/2006/main" count="467" uniqueCount="275">
  <si>
    <t xml:space="preserve">Classeur de calibrage — jeu spatial roguelite</t>
  </si>
  <si>
    <t xml:space="preserve">Version 5 — toutes stats sur 0-100, monnaie de run, coûts, fourchettes, critiques</t>
  </si>
  <si>
    <t xml:space="preserve">Onglets</t>
  </si>
  <si>
    <t xml:space="preserve">Statistiques</t>
  </si>
  <si>
    <t xml:space="preserve">Stats du vaisseau, valeurs initiales et paramètres de la formule.</t>
  </si>
  <si>
    <t xml:space="preserve">Evenements</t>
  </si>
  <si>
    <t xml:space="preserve">Une ligne par option : coût, gains, pertes, notes.</t>
  </si>
  <si>
    <t xml:space="preserve">Simulateur</t>
  </si>
  <si>
    <t xml:space="preserve">Résolution complète d'une option, avec critiques.</t>
  </si>
  <si>
    <t xml:space="preserve">Séquence de résolution d'une option</t>
  </si>
  <si>
    <t xml:space="preserve">1. Coût</t>
  </si>
  <si>
    <t xml:space="preserve">Prélevé immédiatement, quel que soit le résultat.</t>
  </si>
  <si>
    <t xml:space="preserve">2. Probabilité</t>
  </si>
  <si>
    <t xml:space="preserve">P_final = P_base + (Skill - 50) × 0,7, borné entre 5 % et 95 %.</t>
  </si>
  <si>
    <t xml:space="preserve">3. Tirage</t>
  </si>
  <si>
    <t xml:space="preserve">Un jet d100. Réussite si jet ≤ P_final.</t>
  </si>
  <si>
    <t xml:space="preserve">4. Critique</t>
  </si>
  <si>
    <t xml:space="preserve">Réussite critique si jet ≤ 5 + Skill × 0,10 (et ≤ P_final).</t>
  </si>
  <si>
    <t xml:space="preserve">Échec critique si jet &gt; 100 − (15 − Skill × 0,10).</t>
  </si>
  <si>
    <t xml:space="preserve">5. Effets</t>
  </si>
  <si>
    <t xml:space="preserve">Application des 1 ou 2 gains, ou des 1 ou 2 pertes.</t>
  </si>
  <si>
    <t xml:space="preserve">Règles d'effet</t>
  </si>
  <si>
    <t xml:space="preserve">Fourchette</t>
  </si>
  <si>
    <t xml:space="preserve">Un montant écrit 8000-12000 est tiré au hasard dans l'intervalle.</t>
  </si>
  <si>
    <t xml:space="preserve">Réussite critique</t>
  </si>
  <si>
    <t xml:space="preserve">Effets doublés. Sur une fourchette, on prend la borne haute.</t>
  </si>
  <si>
    <t xml:space="preserve">Échec critique</t>
  </si>
  <si>
    <t xml:space="preserve">Pertes doublées. Sur une fourchette, on prend la borne haute.</t>
  </si>
  <si>
    <t xml:space="preserve">Skills</t>
  </si>
  <si>
    <t xml:space="preserve">Peuvent monter et descendre. Le skill gagné ou perdu est celui qui gouverne l'option.</t>
  </si>
  <si>
    <t xml:space="preserve">Moral et Réputation</t>
  </si>
  <si>
    <t xml:space="preserve">Simples stats : ni condition de défaite, ni modulateur d'amplitude.</t>
  </si>
  <si>
    <t xml:space="preserve">Code couleur</t>
  </si>
  <si>
    <t xml:space="preserve">Fond jaune</t>
  </si>
  <si>
    <t xml:space="preserve">Cellule à remplir ou à ajuster.</t>
  </si>
  <si>
    <t xml:space="preserve">Fond vert</t>
  </si>
  <si>
    <t xml:space="preserve">Gains.</t>
  </si>
  <si>
    <t xml:space="preserve">Fond rouge</t>
  </si>
  <si>
    <t xml:space="preserve">Pertes.</t>
  </si>
  <si>
    <t xml:space="preserve">Fond gris</t>
  </si>
  <si>
    <t xml:space="preserve">Sans objet.</t>
  </si>
  <si>
    <t xml:space="preserve">Statistiques du vaisseau</t>
  </si>
  <si>
    <t xml:space="preserve">Statistique</t>
  </si>
  <si>
    <t xml:space="preserve">Famille</t>
  </si>
  <si>
    <t xml:space="preserve">Échelle</t>
  </si>
  <si>
    <t xml:space="preserve">Valeur initiale</t>
  </si>
  <si>
    <t xml:space="preserve">Rôle</t>
  </si>
  <si>
    <t xml:space="preserve">Carburant</t>
  </si>
  <si>
    <t xml:space="preserve">Physique</t>
  </si>
  <si>
    <t xml:space="preserve">0-100</t>
  </si>
  <si>
    <t xml:space="preserve">Fin de run à zéro — dérive</t>
  </si>
  <si>
    <t xml:space="preserve">Coque</t>
  </si>
  <si>
    <t xml:space="preserve">Fin de run à zéro — dislocation</t>
  </si>
  <si>
    <t xml:space="preserve">Moral</t>
  </si>
  <si>
    <t xml:space="preserve">Stat</t>
  </si>
  <si>
    <t xml:space="preserve">Simple stat, cible de gains et de pertes</t>
  </si>
  <si>
    <t xml:space="preserve">Réputation</t>
  </si>
  <si>
    <t xml:space="preserve">Monnaie de Run</t>
  </si>
  <si>
    <t xml:space="preserve">Ressource</t>
  </si>
  <si>
    <t xml:space="preserve">≥ 0</t>
  </si>
  <si>
    <t xml:space="preserve">Dépensée pour les options payantes, perdue en fin de run</t>
  </si>
  <si>
    <t xml:space="preserve">Combat</t>
  </si>
  <si>
    <t xml:space="preserve">Skill</t>
  </si>
  <si>
    <t xml:space="preserve">tiré</t>
  </si>
  <si>
    <t xml:space="preserve">Gouverne les options de combat</t>
  </si>
  <si>
    <t xml:space="preserve">Mécanique</t>
  </si>
  <si>
    <t xml:space="preserve">Gouverne les options techniques</t>
  </si>
  <si>
    <t xml:space="preserve">Relationnel</t>
  </si>
  <si>
    <t xml:space="preserve">Gouverne les options sociales</t>
  </si>
  <si>
    <t xml:space="preserve">Exploration</t>
  </si>
  <si>
    <t xml:space="preserve">Gouverne les options de pilotage et de fouille</t>
  </si>
  <si>
    <t xml:space="preserve">Paramètres de la formule</t>
  </si>
  <si>
    <t xml:space="preserve">Point neutre (skills)</t>
  </si>
  <si>
    <t xml:space="preserve">Ces valeurs pilotent tout l'équilibrage.</t>
  </si>
  <si>
    <t xml:space="preserve">Coefficient probabilité par point de skill</t>
  </si>
  <si>
    <t xml:space="preserve">Plancher de probabilité (%)</t>
  </si>
  <si>
    <t xml:space="preserve">Plafond de probabilité (%)</t>
  </si>
  <si>
    <t xml:space="preserve">Fenêtre de réussite critique — base (%)</t>
  </si>
  <si>
    <t xml:space="preserve">Fenêtre de réussite critique — bonus à skill 100 (%)</t>
  </si>
  <si>
    <t xml:space="preserve">Fenêtre d'échec critique — base à skill 0 (%)</t>
  </si>
  <si>
    <t xml:space="preserve">Multiplicateur critique</t>
  </si>
  <si>
    <t xml:space="preserve">Génération des skills au départ</t>
  </si>
  <si>
    <t xml:space="preserve">Budget total à répartir sur 4 skills</t>
  </si>
  <si>
    <t xml:space="preserve">Valeur minimale par skill</t>
  </si>
  <si>
    <t xml:space="preserve">Valeur maximale par skill</t>
  </si>
  <si>
    <t xml:space="preserve">Bornes de P_base recommandées</t>
  </si>
  <si>
    <t xml:space="preserve">Option sécurisée (%)</t>
  </si>
  <si>
    <t xml:space="preserve">L'option sécurisée garantit une issue à tout profil, même sans le bon skill.</t>
  </si>
  <si>
    <t xml:space="preserve">Option facile (%)</t>
  </si>
  <si>
    <t xml:space="preserve">Option moyenne (%)</t>
  </si>
  <si>
    <t xml:space="preserve">Revenus récurrents</t>
  </si>
  <si>
    <t xml:space="preserve">Solde versée par la station commanditaire (par chapitre)</t>
  </si>
  <si>
    <t xml:space="preserve">Créditée automatiquement à l'ouverture de chaque chapitre.</t>
  </si>
  <si>
    <t xml:space="preserve">Calibrage des options</t>
  </si>
  <si>
    <t xml:space="preserve">Coût prélevé quoi qu'il arrive. Les fourchettes sont tirées au hasard. Un critique double les effets.</t>
  </si>
  <si>
    <t xml:space="preserve">Catégorie</t>
  </si>
  <si>
    <t xml:space="preserve">Événement</t>
  </si>
  <si>
    <t xml:space="preserve">Option</t>
  </si>
  <si>
    <t xml:space="preserve">Type</t>
  </si>
  <si>
    <t xml:space="preserve">Skill gouvernant</t>
  </si>
  <si>
    <t xml:space="preserve">P_base (%)</t>
  </si>
  <si>
    <t xml:space="preserve">Cout_stat</t>
  </si>
  <si>
    <t xml:space="preserve">CoutNb</t>
  </si>
  <si>
    <t xml:space="preserve">Win_Stat1</t>
  </si>
  <si>
    <t xml:space="preserve">GainStat1</t>
  </si>
  <si>
    <t xml:space="preserve">Win_Stat2</t>
  </si>
  <si>
    <t xml:space="preserve">GainStat2</t>
  </si>
  <si>
    <t xml:space="preserve">Lose_Stat1</t>
  </si>
  <si>
    <t xml:space="preserve">PerteStat1</t>
  </si>
  <si>
    <t xml:space="preserve">Lose_Stat2</t>
  </si>
  <si>
    <t xml:space="preserve">PerteStat2</t>
  </si>
  <si>
    <t xml:space="preserve">Notes</t>
  </si>
  <si>
    <t xml:space="preserve">Ressources</t>
  </si>
  <si>
    <t xml:space="preserve">Champ d'astéroïdes</t>
  </si>
  <si>
    <t xml:space="preserve">Contourner</t>
  </si>
  <si>
    <t xml:space="preserve">Aléatoire</t>
  </si>
  <si>
    <t xml:space="preserve">Aucun gain : le gain est de ne pas endommager le vaisseau. Le carburant est perdu quoi qu'il arrive. En cas d'échec, le vaisseau s'égare et l'équipage perd le moral.</t>
  </si>
  <si>
    <t xml:space="preserve">Foncer</t>
  </si>
  <si>
    <t xml:space="preserve">Épave dérivante</t>
  </si>
  <si>
    <t xml:space="preserve">Démonter les pièces</t>
  </si>
  <si>
    <t xml:space="preserve">7000-12000</t>
  </si>
  <si>
    <t xml:space="preserve">Principale source de revenus du run.</t>
  </si>
  <si>
    <t xml:space="preserve">Fouiller les registres</t>
  </si>
  <si>
    <t xml:space="preserve">1000-3000</t>
  </si>
  <si>
    <t xml:space="preserve">En cas d'échec, la fouille déclenche accidentellement l'autodestruction de l'épave : le vaisseau encaisse des dégâts.</t>
  </si>
  <si>
    <t xml:space="preserve">Ignorer</t>
  </si>
  <si>
    <t xml:space="preserve">Déterministe</t>
  </si>
  <si>
    <t xml:space="preserve">—</t>
  </si>
  <si>
    <t xml:space="preserve">Fuite mineure</t>
  </si>
  <si>
    <t xml:space="preserve">Réparer proprement</t>
  </si>
  <si>
    <t xml:space="preserve">Colmater vite fait</t>
  </si>
  <si>
    <t xml:space="preserve">Station de ravitaillement</t>
  </si>
  <si>
    <t xml:space="preserve">Négocier le plein</t>
  </si>
  <si>
    <t xml:space="preserve">Passer</t>
  </si>
  <si>
    <t xml:space="preserve">Patrouille pirate</t>
  </si>
  <si>
    <t xml:space="preserve">Combattre</t>
  </si>
  <si>
    <t xml:space="preserve">Payer un péage</t>
  </si>
  <si>
    <t xml:space="preserve">En cas d'échec, les pillards extorquent de l'argent supplémentaire puis laissent passer.</t>
  </si>
  <si>
    <t xml:space="preserve">Fuir</t>
  </si>
  <si>
    <t xml:space="preserve">Créature accrochée à la coque</t>
  </si>
  <si>
    <t xml:space="preserve">Repousser</t>
  </si>
  <si>
    <t xml:space="preserve">En cas d'échec, la créature finit par lâcher en emportant un morceau de coque.</t>
  </si>
  <si>
    <t xml:space="preserve">Manœuvre brusque</t>
  </si>
  <si>
    <t xml:space="preserve">Drone de guerre autonome</t>
  </si>
  <si>
    <t xml:space="preserve">Détruire</t>
  </si>
  <si>
    <t xml:space="preserve">8000-12000</t>
  </si>
  <si>
    <t xml:space="preserve">En cas d'échec, la patrouille propriétaire du drone arrive et se venge : 20 points de dégâts à la coque.</t>
  </si>
  <si>
    <t xml:space="preserve">Brouiller ses capteurs</t>
  </si>
  <si>
    <t xml:space="preserve">En cas d'échec, le brouilleur casse, ce qui coûte de l'argent.</t>
  </si>
  <si>
    <t xml:space="preserve">Équipage</t>
  </si>
  <si>
    <t xml:space="preserve">Dispute à bord</t>
  </si>
  <si>
    <t xml:space="preserve">Trancher fermement</t>
  </si>
  <si>
    <t xml:space="preserve">Laisser faire</t>
  </si>
  <si>
    <t xml:space="preserve">Fatigue accumulée</t>
  </si>
  <si>
    <t xml:space="preserve">Repos forcé</t>
  </si>
  <si>
    <t xml:space="preserve">Coûte du carburant car le vaisseau erre sans action spécifique. Aucune défaite possible.</t>
  </si>
  <si>
    <t xml:space="preserve">Continuer</t>
  </si>
  <si>
    <t xml:space="preserve">En cas de réussite, l'effort commun renforce la cohésion et fait monter le moral.</t>
  </si>
  <si>
    <t xml:space="preserve">Signal de détresse</t>
  </si>
  <si>
    <t xml:space="preserve">Porter secours</t>
  </si>
  <si>
    <t xml:space="preserve">En cas d'échec, il s'agissait de pirates qui faisaient semblant : ils prennent argent et carburant.</t>
  </si>
  <si>
    <t xml:space="preserve">Réparer leur vaisseau</t>
  </si>
  <si>
    <t xml:space="preserve">En cas d'échec, le vaisseau secouru explose pendant la manipulation : dégâts au vaisseau et réputation entachée.</t>
  </si>
  <si>
    <t xml:space="preserve">Ignorer un appel fait légèrement baisser la réputation.</t>
  </si>
  <si>
    <t xml:space="preserve">Marché contrebandiers</t>
  </si>
  <si>
    <t xml:space="preserve">Négocier</t>
  </si>
  <si>
    <t xml:space="preserve">2000-15000</t>
  </si>
  <si>
    <t xml:space="preserve">1000-2500</t>
  </si>
  <si>
    <t xml:space="preserve">En cas d'échec, les contrebandiers prennent davantage d'argent et un peu de carburant.</t>
  </si>
  <si>
    <t xml:space="preserve">Refuser</t>
  </si>
  <si>
    <t xml:space="preserve">En cas d'échec, les contrebandiers rattrapent le vaisseau pendant la fuite et le pillent.</t>
  </si>
  <si>
    <t xml:space="preserve">Règle : le skill gagné ou perdu par une option est toujours celui qui la gouverne.</t>
  </si>
  <si>
    <t xml:space="preserve">Règle : chaque événement propose au moins une issue viable pour un profil qui n'a pas le bon skill.</t>
  </si>
  <si>
    <t xml:space="preserve">Simulateur de résolution</t>
  </si>
  <si>
    <t xml:space="preserve">Entrées</t>
  </si>
  <si>
    <t xml:space="preserve">P_base de l'option (%)</t>
  </si>
  <si>
    <t xml:space="preserve">Skill gouvernant (0-100)</t>
  </si>
  <si>
    <t xml:space="preserve">Gain — borne basse</t>
  </si>
  <si>
    <t xml:space="preserve">Gain — borne haute</t>
  </si>
  <si>
    <t xml:space="preserve">Perte de base</t>
  </si>
  <si>
    <t xml:space="preserve">Résultats</t>
  </si>
  <si>
    <t xml:space="preserve">P_final borné (%)</t>
  </si>
  <si>
    <t xml:space="preserve">Fenêtre de réussite critique (%)</t>
  </si>
  <si>
    <t xml:space="preserve">Fenêtre d'échec critique (%)</t>
  </si>
  <si>
    <t xml:space="preserve">Gain moyen (hors critique)</t>
  </si>
  <si>
    <t xml:space="preserve">Gain en réussite critique</t>
  </si>
  <si>
    <t xml:space="preserve">Perte en échec critique</t>
  </si>
  <si>
    <t xml:space="preserve">Courbe de probabilité selon le skill</t>
  </si>
  <si>
    <t xml:space="preserve">P_final (%)</t>
  </si>
  <si>
    <t xml:space="preserve">Crit. réussite (%)</t>
  </si>
  <si>
    <t xml:space="preserve">Crit. échec (%)</t>
  </si>
  <si>
    <t xml:space="preserve">Calibrage — événement planète</t>
  </si>
  <si>
    <t xml:space="preserve">Choix à la détection</t>
  </si>
  <si>
    <t xml:space="preserve">Choix</t>
  </si>
  <si>
    <t xml:space="preserve">Effet</t>
  </si>
  <si>
    <t xml:space="preserve">Comptée au score</t>
  </si>
  <si>
    <t xml:space="preserve">Explorer</t>
  </si>
  <si>
    <t xml:space="preserve">Tire le type de planète (table ci-dessous)</t>
  </si>
  <si>
    <t xml:space="preserve">Oui</t>
  </si>
  <si>
    <t xml:space="preserve">Gain du scan (fixe)</t>
  </si>
  <si>
    <t xml:space="preserve">Scanner à distance</t>
  </si>
  <si>
    <t xml:space="preserve">Aucun effet</t>
  </si>
  <si>
    <t xml:space="preserve">Non</t>
  </si>
  <si>
    <t xml:space="preserve">Table des types de planète (tirage à l'exploration)</t>
  </si>
  <si>
    <t xml:space="preserve">Probabilité (%)</t>
  </si>
  <si>
    <t xml:space="preserve">Gain run — bas</t>
  </si>
  <si>
    <t xml:space="preserve">Gain run — haut</t>
  </si>
  <si>
    <t xml:space="preserve">Monnaie persistante</t>
  </si>
  <si>
    <t xml:space="preserve">Trophée</t>
  </si>
  <si>
    <t xml:space="preserve">Effet additionnel</t>
  </si>
  <si>
    <t xml:space="preserve">Classique</t>
  </si>
  <si>
    <t xml:space="preserve">Anomalie</t>
  </si>
  <si>
    <t xml:space="preserve">à calibrer</t>
  </si>
  <si>
    <t xml:space="preserve">Ajoute un trophée unique au portefeuille</t>
  </si>
  <si>
    <t xml:space="preserve">Paradisiaque</t>
  </si>
  <si>
    <t xml:space="preserve">0,01% de la monnaie de run si arrêt</t>
  </si>
  <si>
    <t xml:space="preserve">Permet de terminer le run en victoire</t>
  </si>
  <si>
    <t xml:space="preserve">Infernale</t>
  </si>
  <si>
    <t xml:space="preserve">Coque ramenée à 10% (ou explosion si déjà ≤10%) ; -50% monnaie de run</t>
  </si>
  <si>
    <t xml:space="preserve">Somme des probabilités</t>
  </si>
  <si>
    <t xml:space="preserve">Caractéristiques combinables (tirage indépendant, pondération à définir)</t>
  </si>
  <si>
    <t xml:space="preserve">Climat</t>
  </si>
  <si>
    <t xml:space="preserve">Terrain</t>
  </si>
  <si>
    <t xml:space="preserve">Atmosphère</t>
  </si>
  <si>
    <t xml:space="preserve">Système stellaire</t>
  </si>
  <si>
    <t xml:space="preserve">Écosystème</t>
  </si>
  <si>
    <t xml:space="preserve">Infernal</t>
  </si>
  <si>
    <t xml:space="preserve">Eau</t>
  </si>
  <si>
    <t xml:space="preserve">Inexistante</t>
  </si>
  <si>
    <t xml:space="preserve">Errante</t>
  </si>
  <si>
    <t xml:space="preserve">Pas de vie</t>
  </si>
  <si>
    <t xml:space="preserve">Chaud</t>
  </si>
  <si>
    <t xml:space="preserve">Jungle</t>
  </si>
  <si>
    <t xml:space="preserve">Toxique</t>
  </si>
  <si>
    <t xml:space="preserve">1 soleil</t>
  </si>
  <si>
    <t xml:space="preserve">Vie primitive</t>
  </si>
  <si>
    <t xml:space="preserve">Tempéré</t>
  </si>
  <si>
    <t xml:space="preserve">Désert rocailleux</t>
  </si>
  <si>
    <t xml:space="preserve">Irrespirable</t>
  </si>
  <si>
    <t xml:space="preserve">2 soleils</t>
  </si>
  <si>
    <t xml:space="preserve">Vie animale</t>
  </si>
  <si>
    <t xml:space="preserve">Froid</t>
  </si>
  <si>
    <t xml:space="preserve">Désert glacé</t>
  </si>
  <si>
    <t xml:space="preserve">Respirable</t>
  </si>
  <si>
    <t xml:space="preserve">3 soleils</t>
  </si>
  <si>
    <t xml:space="preserve">Vie intelligente</t>
  </si>
  <si>
    <t xml:space="preserve">Glacial</t>
  </si>
  <si>
    <t xml:space="preserve">Gaz</t>
  </si>
  <si>
    <t xml:space="preserve">Dense</t>
  </si>
  <si>
    <t xml:space="preserve">Trou noir</t>
  </si>
  <si>
    <t xml:space="preserve">Société complexe établie</t>
  </si>
  <si>
    <t xml:space="preserve">Étoile à neutrons</t>
  </si>
  <si>
    <t xml:space="preserve">Poids de rareté (%) à définir par valeur, doit sommer à 100 par colonne</t>
  </si>
  <si>
    <t xml:space="preserve">Génération du nom : [Préfixe Système] + [Racine] + [Suffixe Climat]</t>
  </si>
  <si>
    <t xml:space="preserve">Préfixe</t>
  </si>
  <si>
    <t xml:space="preserve">Suffixe</t>
  </si>
  <si>
    <t xml:space="preserve">Kesh-</t>
  </si>
  <si>
    <t xml:space="preserve">-agon</t>
  </si>
  <si>
    <t xml:space="preserve">Sol-</t>
  </si>
  <si>
    <t xml:space="preserve">-ora</t>
  </si>
  <si>
    <t xml:space="preserve">Bi-</t>
  </si>
  <si>
    <t xml:space="preserve">-eth</t>
  </si>
  <si>
    <t xml:space="preserve">Tri-</t>
  </si>
  <si>
    <t xml:space="preserve">-ice</t>
  </si>
  <si>
    <t xml:space="preserve">Abys-</t>
  </si>
  <si>
    <t xml:space="preserve">-friz</t>
  </si>
  <si>
    <t xml:space="preserve">Puls-</t>
  </si>
  <si>
    <t xml:space="preserve">Banque de racines (à compléter)</t>
  </si>
  <si>
    <t xml:space="preserve">tara</t>
  </si>
  <si>
    <t xml:space="preserve">mund</t>
  </si>
  <si>
    <t xml:space="preserve">oth</t>
  </si>
  <si>
    <t xml:space="preserve">vex</t>
  </si>
  <si>
    <t xml:space="preserve">illia</t>
  </si>
  <si>
    <t xml:space="preserve">kar</t>
  </si>
  <si>
    <t xml:space="preserve">nyx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</si>
</sst>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6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/>
      <c r="B3" s="2"/>
    </row>
    <row r="4" customFormat="false" ht="15" hidden="false" customHeight="false" outlineLevel="0" collapsed="false">
      <c r="A4" s="3" t="s">
        <v>2</v>
      </c>
      <c r="B4" s="2"/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4" t="s">
        <v>5</v>
      </c>
      <c r="B6" s="2" t="s">
        <v>6</v>
      </c>
    </row>
    <row r="7" customFormat="false" ht="15" hidden="false" customHeight="false" outlineLevel="0" collapsed="false">
      <c r="A7" s="4" t="s">
        <v>7</v>
      </c>
      <c r="B7" s="2" t="s">
        <v>8</v>
      </c>
    </row>
    <row r="8" customFormat="false" ht="15" hidden="false" customHeight="false" outlineLevel="0" collapsed="false">
      <c r="A8" s="4"/>
      <c r="B8" s="2"/>
    </row>
    <row r="9" customFormat="false" ht="15" hidden="false" customHeight="false" outlineLevel="0" collapsed="false">
      <c r="A9" s="3" t="s">
        <v>9</v>
      </c>
      <c r="B9" s="2"/>
    </row>
    <row r="10" customFormat="false" ht="15" hidden="false" customHeight="false" outlineLevel="0" collapsed="false">
      <c r="A10" s="4" t="s">
        <v>10</v>
      </c>
      <c r="B10" s="2" t="s">
        <v>11</v>
      </c>
    </row>
    <row r="11" customFormat="false" ht="15" hidden="false" customHeight="false" outlineLevel="0" collapsed="false">
      <c r="A11" s="4" t="s">
        <v>12</v>
      </c>
      <c r="B11" s="2" t="s">
        <v>13</v>
      </c>
    </row>
    <row r="12" customFormat="false" ht="15" hidden="false" customHeight="false" outlineLevel="0" collapsed="false">
      <c r="A12" s="4" t="s">
        <v>14</v>
      </c>
      <c r="B12" s="2" t="s">
        <v>15</v>
      </c>
    </row>
    <row r="13" customFormat="false" ht="15" hidden="false" customHeight="false" outlineLevel="0" collapsed="false">
      <c r="A13" s="4" t="s">
        <v>16</v>
      </c>
      <c r="B13" s="2" t="s">
        <v>17</v>
      </c>
    </row>
    <row r="14" customFormat="false" ht="15" hidden="false" customHeight="false" outlineLevel="0" collapsed="false">
      <c r="A14" s="4"/>
      <c r="B14" s="2" t="s">
        <v>18</v>
      </c>
    </row>
    <row r="15" customFormat="false" ht="15" hidden="false" customHeight="false" outlineLevel="0" collapsed="false">
      <c r="A15" s="4" t="s">
        <v>19</v>
      </c>
      <c r="B15" s="2" t="s">
        <v>20</v>
      </c>
    </row>
    <row r="16" customFormat="false" ht="15" hidden="false" customHeight="false" outlineLevel="0" collapsed="false">
      <c r="A16" s="4"/>
      <c r="B16" s="2"/>
    </row>
    <row r="17" customFormat="false" ht="15" hidden="false" customHeight="false" outlineLevel="0" collapsed="false">
      <c r="A17" s="3" t="s">
        <v>21</v>
      </c>
      <c r="B17" s="2"/>
    </row>
    <row r="18" customFormat="false" ht="15" hidden="false" customHeight="false" outlineLevel="0" collapsed="false">
      <c r="A18" s="4" t="s">
        <v>22</v>
      </c>
      <c r="B18" s="2" t="s">
        <v>23</v>
      </c>
    </row>
    <row r="19" customFormat="false" ht="15" hidden="false" customHeight="false" outlineLevel="0" collapsed="false">
      <c r="A19" s="4" t="s">
        <v>24</v>
      </c>
      <c r="B19" s="2" t="s">
        <v>25</v>
      </c>
    </row>
    <row r="20" customFormat="false" ht="15" hidden="false" customHeight="false" outlineLevel="0" collapsed="false">
      <c r="A20" s="4" t="s">
        <v>26</v>
      </c>
      <c r="B20" s="2" t="s">
        <v>27</v>
      </c>
    </row>
    <row r="21" customFormat="false" ht="15" hidden="false" customHeight="false" outlineLevel="0" collapsed="false">
      <c r="A21" s="4" t="s">
        <v>28</v>
      </c>
      <c r="B21" s="2" t="s">
        <v>29</v>
      </c>
    </row>
    <row r="22" customFormat="false" ht="15" hidden="false" customHeight="false" outlineLevel="0" collapsed="false">
      <c r="A22" s="4" t="s">
        <v>30</v>
      </c>
      <c r="B22" s="2" t="s">
        <v>31</v>
      </c>
    </row>
    <row r="23" customFormat="false" ht="15" hidden="false" customHeight="false" outlineLevel="0" collapsed="false">
      <c r="A23" s="4"/>
      <c r="B23" s="2"/>
    </row>
    <row r="24" customFormat="false" ht="15" hidden="false" customHeight="false" outlineLevel="0" collapsed="false">
      <c r="A24" s="3" t="s">
        <v>32</v>
      </c>
      <c r="B24" s="2"/>
    </row>
    <row r="25" customFormat="false" ht="15" hidden="false" customHeight="false" outlineLevel="0" collapsed="false">
      <c r="A25" s="5" t="s">
        <v>33</v>
      </c>
      <c r="B25" s="2" t="s">
        <v>34</v>
      </c>
    </row>
    <row r="26" customFormat="false" ht="15" hidden="false" customHeight="false" outlineLevel="0" collapsed="false">
      <c r="A26" s="6" t="s">
        <v>35</v>
      </c>
      <c r="B26" s="2" t="s">
        <v>36</v>
      </c>
    </row>
    <row r="27" customFormat="false" ht="15" hidden="false" customHeight="false" outlineLevel="0" collapsed="false">
      <c r="A27" s="7" t="s">
        <v>37</v>
      </c>
      <c r="B27" s="2" t="s">
        <v>38</v>
      </c>
    </row>
    <row r="28" customFormat="false" ht="15" hidden="false" customHeight="false" outlineLevel="0" collapsed="false">
      <c r="A28" s="8" t="s">
        <v>39</v>
      </c>
      <c r="B28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9" t="s">
        <v>42</v>
      </c>
      <c r="B3" s="9" t="s">
        <v>43</v>
      </c>
      <c r="C3" s="9" t="s">
        <v>44</v>
      </c>
      <c r="D3" s="9" t="s">
        <v>45</v>
      </c>
      <c r="E3" s="9" t="s">
        <v>46</v>
      </c>
    </row>
    <row r="4" customFormat="false" ht="15" hidden="false" customHeight="false" outlineLevel="0" collapsed="false">
      <c r="A4" s="10" t="s">
        <v>47</v>
      </c>
      <c r="B4" s="10" t="s">
        <v>48</v>
      </c>
      <c r="C4" s="10" t="s">
        <v>49</v>
      </c>
      <c r="D4" s="11" t="n">
        <v>100</v>
      </c>
      <c r="E4" s="10" t="s">
        <v>50</v>
      </c>
    </row>
    <row r="5" customFormat="false" ht="15" hidden="false" customHeight="false" outlineLevel="0" collapsed="false">
      <c r="A5" s="10" t="s">
        <v>51</v>
      </c>
      <c r="B5" s="10" t="s">
        <v>48</v>
      </c>
      <c r="C5" s="10" t="s">
        <v>49</v>
      </c>
      <c r="D5" s="11" t="n">
        <v>100</v>
      </c>
      <c r="E5" s="10" t="s">
        <v>52</v>
      </c>
    </row>
    <row r="6" customFormat="false" ht="15" hidden="false" customHeight="false" outlineLevel="0" collapsed="false">
      <c r="A6" s="10" t="s">
        <v>53</v>
      </c>
      <c r="B6" s="10" t="s">
        <v>54</v>
      </c>
      <c r="C6" s="10" t="s">
        <v>49</v>
      </c>
      <c r="D6" s="11" t="n">
        <v>70</v>
      </c>
      <c r="E6" s="10" t="s">
        <v>55</v>
      </c>
    </row>
    <row r="7" customFormat="false" ht="15" hidden="false" customHeight="false" outlineLevel="0" collapsed="false">
      <c r="A7" s="10" t="s">
        <v>56</v>
      </c>
      <c r="B7" s="10" t="s">
        <v>54</v>
      </c>
      <c r="C7" s="10" t="s">
        <v>49</v>
      </c>
      <c r="D7" s="11" t="n">
        <v>50</v>
      </c>
      <c r="E7" s="10" t="s">
        <v>55</v>
      </c>
    </row>
    <row r="8" customFormat="false" ht="15" hidden="false" customHeight="false" outlineLevel="0" collapsed="false">
      <c r="A8" s="10" t="s">
        <v>57</v>
      </c>
      <c r="B8" s="10" t="s">
        <v>58</v>
      </c>
      <c r="C8" s="10" t="s">
        <v>59</v>
      </c>
      <c r="D8" s="11" t="n">
        <v>2000</v>
      </c>
      <c r="E8" s="10" t="s">
        <v>60</v>
      </c>
    </row>
    <row r="9" customFormat="false" ht="15" hidden="false" customHeight="false" outlineLevel="0" collapsed="false">
      <c r="A9" s="10" t="s">
        <v>61</v>
      </c>
      <c r="B9" s="10" t="s">
        <v>62</v>
      </c>
      <c r="C9" s="10" t="s">
        <v>49</v>
      </c>
      <c r="D9" s="11" t="s">
        <v>63</v>
      </c>
      <c r="E9" s="10" t="s">
        <v>64</v>
      </c>
    </row>
    <row r="10" customFormat="false" ht="15" hidden="false" customHeight="false" outlineLevel="0" collapsed="false">
      <c r="A10" s="10" t="s">
        <v>65</v>
      </c>
      <c r="B10" s="10" t="s">
        <v>62</v>
      </c>
      <c r="C10" s="10" t="s">
        <v>49</v>
      </c>
      <c r="D10" s="11" t="s">
        <v>63</v>
      </c>
      <c r="E10" s="10" t="s">
        <v>66</v>
      </c>
    </row>
    <row r="11" customFormat="false" ht="15" hidden="false" customHeight="false" outlineLevel="0" collapsed="false">
      <c r="A11" s="10" t="s">
        <v>67</v>
      </c>
      <c r="B11" s="10" t="s">
        <v>62</v>
      </c>
      <c r="C11" s="10" t="s">
        <v>49</v>
      </c>
      <c r="D11" s="11" t="s">
        <v>63</v>
      </c>
      <c r="E11" s="10" t="s">
        <v>68</v>
      </c>
    </row>
    <row r="12" customFormat="false" ht="15" hidden="false" customHeight="false" outlineLevel="0" collapsed="false">
      <c r="A12" s="10" t="s">
        <v>69</v>
      </c>
      <c r="B12" s="10" t="s">
        <v>62</v>
      </c>
      <c r="C12" s="10" t="s">
        <v>49</v>
      </c>
      <c r="D12" s="11" t="s">
        <v>63</v>
      </c>
      <c r="E12" s="10" t="s">
        <v>70</v>
      </c>
    </row>
    <row r="14" customFormat="false" ht="15" hidden="false" customHeight="false" outlineLevel="0" collapsed="false">
      <c r="A14" s="3" t="s">
        <v>71</v>
      </c>
    </row>
    <row r="15" customFormat="false" ht="15" hidden="false" customHeight="false" outlineLevel="0" collapsed="false">
      <c r="A15" s="10" t="s">
        <v>72</v>
      </c>
      <c r="D15" s="11" t="n">
        <v>50</v>
      </c>
      <c r="E15" s="12" t="s">
        <v>73</v>
      </c>
    </row>
    <row r="16" customFormat="false" ht="15" hidden="false" customHeight="false" outlineLevel="0" collapsed="false">
      <c r="A16" s="10" t="s">
        <v>74</v>
      </c>
      <c r="D16" s="11" t="n">
        <v>0.7</v>
      </c>
    </row>
    <row r="17" customFormat="false" ht="15" hidden="false" customHeight="false" outlineLevel="0" collapsed="false">
      <c r="A17" s="10" t="s">
        <v>75</v>
      </c>
      <c r="D17" s="11" t="n">
        <v>5</v>
      </c>
    </row>
    <row r="18" customFormat="false" ht="15" hidden="false" customHeight="false" outlineLevel="0" collapsed="false">
      <c r="A18" s="10" t="s">
        <v>76</v>
      </c>
      <c r="D18" s="11" t="n">
        <v>95</v>
      </c>
    </row>
    <row r="19" customFormat="false" ht="15" hidden="false" customHeight="false" outlineLevel="0" collapsed="false">
      <c r="A19" s="10" t="s">
        <v>77</v>
      </c>
      <c r="D19" s="11" t="n">
        <v>5</v>
      </c>
    </row>
    <row r="20" customFormat="false" ht="15" hidden="false" customHeight="false" outlineLevel="0" collapsed="false">
      <c r="A20" s="10" t="s">
        <v>78</v>
      </c>
      <c r="D20" s="11" t="n">
        <v>10</v>
      </c>
    </row>
    <row r="21" customFormat="false" ht="15" hidden="false" customHeight="false" outlineLevel="0" collapsed="false">
      <c r="A21" s="10" t="s">
        <v>79</v>
      </c>
      <c r="D21" s="11" t="n">
        <v>15</v>
      </c>
    </row>
    <row r="22" customFormat="false" ht="15" hidden="false" customHeight="false" outlineLevel="0" collapsed="false">
      <c r="A22" s="10" t="s">
        <v>80</v>
      </c>
      <c r="D22" s="11" t="n">
        <v>2</v>
      </c>
    </row>
    <row r="24" customFormat="false" ht="15" hidden="false" customHeight="false" outlineLevel="0" collapsed="false">
      <c r="A24" s="3" t="s">
        <v>81</v>
      </c>
    </row>
    <row r="25" customFormat="false" ht="15" hidden="false" customHeight="false" outlineLevel="0" collapsed="false">
      <c r="A25" s="10" t="s">
        <v>82</v>
      </c>
      <c r="D25" s="11" t="n">
        <v>200</v>
      </c>
    </row>
    <row r="26" customFormat="false" ht="15" hidden="false" customHeight="false" outlineLevel="0" collapsed="false">
      <c r="A26" s="10" t="s">
        <v>83</v>
      </c>
      <c r="D26" s="11" t="n">
        <v>20</v>
      </c>
    </row>
    <row r="27" customFormat="false" ht="15" hidden="false" customHeight="false" outlineLevel="0" collapsed="false">
      <c r="A27" s="10" t="s">
        <v>84</v>
      </c>
      <c r="D27" s="11" t="n">
        <v>80</v>
      </c>
    </row>
    <row r="29" customFormat="false" ht="15" hidden="false" customHeight="false" outlineLevel="0" collapsed="false">
      <c r="A29" s="3" t="s">
        <v>85</v>
      </c>
    </row>
    <row r="30" customFormat="false" ht="15" hidden="false" customHeight="false" outlineLevel="0" collapsed="false">
      <c r="A30" s="10" t="s">
        <v>86</v>
      </c>
      <c r="D30" s="11" t="n">
        <v>85</v>
      </c>
      <c r="E30" s="12" t="s">
        <v>87</v>
      </c>
    </row>
    <row r="31" customFormat="false" ht="15" hidden="false" customHeight="false" outlineLevel="0" collapsed="false">
      <c r="A31" s="10" t="s">
        <v>88</v>
      </c>
      <c r="D31" s="11" t="n">
        <v>60</v>
      </c>
    </row>
    <row r="32" customFormat="false" ht="15" hidden="false" customHeight="false" outlineLevel="0" collapsed="false">
      <c r="A32" s="10" t="s">
        <v>89</v>
      </c>
      <c r="D32" s="11" t="n">
        <v>45</v>
      </c>
    </row>
    <row r="33" customFormat="false" ht="15" hidden="false" customHeight="false" outlineLevel="0" collapsed="false">
      <c r="A33" s="13" t="s">
        <v>90</v>
      </c>
      <c r="D33" s="11" t="n">
        <v>30</v>
      </c>
    </row>
    <row r="34" customFormat="false" ht="15" hidden="false" customHeight="false" outlineLevel="0" collapsed="false">
      <c r="A34" s="10" t="s">
        <v>91</v>
      </c>
      <c r="D34" s="11" t="n">
        <v>5000</v>
      </c>
      <c r="E34" s="1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52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12" t="s">
        <v>94</v>
      </c>
    </row>
    <row r="4" customFormat="false" ht="33.75" hidden="false" customHeight="true" outlineLevel="0" collapsed="false">
      <c r="A4" s="14" t="s">
        <v>95</v>
      </c>
      <c r="B4" s="14" t="s">
        <v>96</v>
      </c>
      <c r="C4" s="14" t="s">
        <v>97</v>
      </c>
      <c r="D4" s="14" t="s">
        <v>98</v>
      </c>
      <c r="E4" s="14" t="s">
        <v>99</v>
      </c>
      <c r="F4" s="14" t="s">
        <v>100</v>
      </c>
      <c r="G4" s="14" t="s">
        <v>101</v>
      </c>
      <c r="H4" s="14" t="s">
        <v>102</v>
      </c>
      <c r="I4" s="14" t="s">
        <v>103</v>
      </c>
      <c r="J4" s="14" t="s">
        <v>104</v>
      </c>
      <c r="K4" s="14" t="s">
        <v>105</v>
      </c>
      <c r="L4" s="14" t="s">
        <v>106</v>
      </c>
      <c r="M4" s="14" t="s">
        <v>107</v>
      </c>
      <c r="N4" s="14" t="s">
        <v>108</v>
      </c>
      <c r="O4" s="14" t="s">
        <v>109</v>
      </c>
      <c r="P4" s="14" t="s">
        <v>110</v>
      </c>
      <c r="Q4" s="14" t="s">
        <v>111</v>
      </c>
    </row>
    <row r="5" customFormat="false" ht="52.2" hidden="false" customHeight="false" outlineLevel="0" collapsed="false">
      <c r="A5" s="10" t="s">
        <v>112</v>
      </c>
      <c r="B5" s="10" t="s">
        <v>113</v>
      </c>
      <c r="C5" s="10" t="s">
        <v>114</v>
      </c>
      <c r="D5" s="10" t="s">
        <v>115</v>
      </c>
      <c r="E5" s="10" t="s">
        <v>69</v>
      </c>
      <c r="F5" s="11" t="n">
        <v>85</v>
      </c>
      <c r="G5" s="11" t="s">
        <v>47</v>
      </c>
      <c r="H5" s="11" t="n">
        <v>15</v>
      </c>
      <c r="I5" s="15"/>
      <c r="J5" s="15"/>
      <c r="K5" s="15"/>
      <c r="L5" s="15"/>
      <c r="M5" s="16" t="s">
        <v>53</v>
      </c>
      <c r="N5" s="16" t="n">
        <v>8</v>
      </c>
      <c r="O5" s="16"/>
      <c r="P5" s="16"/>
      <c r="Q5" s="17" t="s">
        <v>116</v>
      </c>
    </row>
    <row r="6" customFormat="false" ht="15" hidden="false" customHeight="false" outlineLevel="0" collapsed="false">
      <c r="A6" s="10" t="s">
        <v>112</v>
      </c>
      <c r="B6" s="10" t="s">
        <v>113</v>
      </c>
      <c r="C6" s="10" t="s">
        <v>117</v>
      </c>
      <c r="D6" s="10" t="s">
        <v>115</v>
      </c>
      <c r="E6" s="10" t="s">
        <v>69</v>
      </c>
      <c r="F6" s="11" t="n">
        <v>40</v>
      </c>
      <c r="G6" s="11"/>
      <c r="H6" s="11"/>
      <c r="I6" s="15" t="s">
        <v>53</v>
      </c>
      <c r="J6" s="15" t="n">
        <v>2</v>
      </c>
      <c r="K6" s="15" t="s">
        <v>69</v>
      </c>
      <c r="L6" s="15" t="n">
        <v>8</v>
      </c>
      <c r="M6" s="16" t="s">
        <v>53</v>
      </c>
      <c r="N6" s="16" t="n">
        <v>2</v>
      </c>
      <c r="O6" s="16" t="s">
        <v>51</v>
      </c>
      <c r="P6" s="16" t="n">
        <v>17</v>
      </c>
      <c r="Q6" s="17"/>
    </row>
    <row r="7" customFormat="false" ht="15" hidden="false" customHeight="false" outlineLevel="0" collapsed="false">
      <c r="A7" s="10" t="s">
        <v>112</v>
      </c>
      <c r="B7" s="10" t="s">
        <v>118</v>
      </c>
      <c r="C7" s="10" t="s">
        <v>119</v>
      </c>
      <c r="D7" s="10" t="s">
        <v>115</v>
      </c>
      <c r="E7" s="10" t="s">
        <v>65</v>
      </c>
      <c r="F7" s="11" t="n">
        <v>50</v>
      </c>
      <c r="G7" s="11"/>
      <c r="H7" s="11"/>
      <c r="I7" s="15" t="s">
        <v>57</v>
      </c>
      <c r="J7" s="15" t="s">
        <v>120</v>
      </c>
      <c r="K7" s="15" t="s">
        <v>65</v>
      </c>
      <c r="L7" s="15" t="n">
        <v>5</v>
      </c>
      <c r="M7" s="16" t="s">
        <v>65</v>
      </c>
      <c r="N7" s="16" t="n">
        <v>5</v>
      </c>
      <c r="O7" s="16"/>
      <c r="P7" s="16"/>
      <c r="Q7" s="17" t="s">
        <v>121</v>
      </c>
    </row>
    <row r="8" customFormat="false" ht="39.55" hidden="false" customHeight="false" outlineLevel="0" collapsed="false">
      <c r="A8" s="10" t="s">
        <v>112</v>
      </c>
      <c r="B8" s="10" t="s">
        <v>118</v>
      </c>
      <c r="C8" s="10" t="s">
        <v>122</v>
      </c>
      <c r="D8" s="10" t="s">
        <v>115</v>
      </c>
      <c r="E8" s="10" t="s">
        <v>69</v>
      </c>
      <c r="F8" s="11" t="n">
        <v>50</v>
      </c>
      <c r="G8" s="11"/>
      <c r="H8" s="11"/>
      <c r="I8" s="15" t="s">
        <v>57</v>
      </c>
      <c r="J8" s="15" t="s">
        <v>123</v>
      </c>
      <c r="K8" s="15" t="s">
        <v>69</v>
      </c>
      <c r="L8" s="15" t="n">
        <v>10</v>
      </c>
      <c r="M8" s="16" t="s">
        <v>51</v>
      </c>
      <c r="N8" s="16" t="n">
        <v>10</v>
      </c>
      <c r="O8" s="16"/>
      <c r="P8" s="16"/>
      <c r="Q8" s="17" t="s">
        <v>124</v>
      </c>
    </row>
    <row r="9" customFormat="false" ht="15" hidden="false" customHeight="false" outlineLevel="0" collapsed="false">
      <c r="A9" s="10" t="s">
        <v>112</v>
      </c>
      <c r="B9" s="10" t="s">
        <v>118</v>
      </c>
      <c r="C9" s="10" t="s">
        <v>125</v>
      </c>
      <c r="D9" s="10" t="s">
        <v>126</v>
      </c>
      <c r="E9" s="18" t="s">
        <v>127</v>
      </c>
      <c r="F9" s="19"/>
      <c r="G9" s="11"/>
      <c r="H9" s="11"/>
      <c r="I9" s="15"/>
      <c r="J9" s="15"/>
      <c r="K9" s="15"/>
      <c r="L9" s="15"/>
      <c r="M9" s="16"/>
      <c r="N9" s="16"/>
      <c r="O9" s="16"/>
      <c r="P9" s="16"/>
      <c r="Q9" s="17"/>
    </row>
    <row r="10" customFormat="false" ht="15" hidden="false" customHeight="false" outlineLevel="0" collapsed="false">
      <c r="A10" s="10" t="s">
        <v>112</v>
      </c>
      <c r="B10" s="10" t="s">
        <v>128</v>
      </c>
      <c r="C10" s="10" t="s">
        <v>129</v>
      </c>
      <c r="D10" s="10" t="s">
        <v>115</v>
      </c>
      <c r="E10" s="10" t="s">
        <v>65</v>
      </c>
      <c r="F10" s="11" t="n">
        <v>85</v>
      </c>
      <c r="G10" s="11" t="s">
        <v>57</v>
      </c>
      <c r="H10" s="11" t="n">
        <v>4000</v>
      </c>
      <c r="I10" s="15" t="s">
        <v>51</v>
      </c>
      <c r="J10" s="15" t="n">
        <v>12</v>
      </c>
      <c r="K10" s="15" t="s">
        <v>65</v>
      </c>
      <c r="L10" s="15" t="n">
        <v>8</v>
      </c>
      <c r="M10" s="16" t="s">
        <v>51</v>
      </c>
      <c r="N10" s="16" t="n">
        <v>5</v>
      </c>
      <c r="O10" s="16"/>
      <c r="P10" s="16"/>
      <c r="Q10" s="17"/>
    </row>
    <row r="11" customFormat="false" ht="15" hidden="false" customHeight="false" outlineLevel="0" collapsed="false">
      <c r="A11" s="10" t="s">
        <v>112</v>
      </c>
      <c r="B11" s="10" t="s">
        <v>128</v>
      </c>
      <c r="C11" s="10" t="s">
        <v>130</v>
      </c>
      <c r="D11" s="10" t="s">
        <v>115</v>
      </c>
      <c r="E11" s="10" t="s">
        <v>65</v>
      </c>
      <c r="F11" s="11" t="n">
        <v>55</v>
      </c>
      <c r="G11" s="11" t="s">
        <v>57</v>
      </c>
      <c r="H11" s="11" t="n">
        <v>2500</v>
      </c>
      <c r="I11" s="15" t="s">
        <v>51</v>
      </c>
      <c r="J11" s="15" t="n">
        <v>9</v>
      </c>
      <c r="K11" s="15"/>
      <c r="L11" s="15"/>
      <c r="M11" s="16" t="s">
        <v>51</v>
      </c>
      <c r="N11" s="16" t="n">
        <v>7</v>
      </c>
      <c r="O11" s="16" t="s">
        <v>65</v>
      </c>
      <c r="P11" s="16" t="n">
        <v>8</v>
      </c>
      <c r="Q11" s="17"/>
    </row>
    <row r="12" customFormat="false" ht="15" hidden="false" customHeight="false" outlineLevel="0" collapsed="false">
      <c r="A12" s="10" t="s">
        <v>112</v>
      </c>
      <c r="B12" s="10" t="s">
        <v>131</v>
      </c>
      <c r="C12" s="10" t="s">
        <v>132</v>
      </c>
      <c r="D12" s="10" t="s">
        <v>115</v>
      </c>
      <c r="E12" s="10" t="s">
        <v>67</v>
      </c>
      <c r="F12" s="11" t="n">
        <v>50</v>
      </c>
      <c r="G12" s="11" t="s">
        <v>57</v>
      </c>
      <c r="H12" s="11" t="n">
        <v>2000</v>
      </c>
      <c r="I12" s="15" t="s">
        <v>47</v>
      </c>
      <c r="J12" s="15" t="n">
        <v>50</v>
      </c>
      <c r="K12" s="15"/>
      <c r="L12" s="15"/>
      <c r="M12" s="16"/>
      <c r="N12" s="16"/>
      <c r="O12" s="16"/>
      <c r="P12" s="16"/>
      <c r="Q12" s="17"/>
    </row>
    <row r="13" customFormat="false" ht="15" hidden="false" customHeight="false" outlineLevel="0" collapsed="false">
      <c r="A13" s="10" t="s">
        <v>112</v>
      </c>
      <c r="B13" s="10" t="s">
        <v>131</v>
      </c>
      <c r="C13" s="10" t="s">
        <v>133</v>
      </c>
      <c r="D13" s="10" t="s">
        <v>126</v>
      </c>
      <c r="E13" s="18" t="s">
        <v>127</v>
      </c>
      <c r="F13" s="19"/>
      <c r="G13" s="11"/>
      <c r="H13" s="11"/>
      <c r="I13" s="15"/>
      <c r="J13" s="15"/>
      <c r="K13" s="15"/>
      <c r="L13" s="15"/>
      <c r="M13" s="16"/>
      <c r="N13" s="16"/>
      <c r="O13" s="16"/>
      <c r="P13" s="16"/>
      <c r="Q13" s="17"/>
    </row>
    <row r="14" customFormat="false" ht="15" hidden="false" customHeight="false" outlineLevel="0" collapsed="false">
      <c r="A14" s="10" t="s">
        <v>61</v>
      </c>
      <c r="B14" s="10" t="s">
        <v>134</v>
      </c>
      <c r="C14" s="10" t="s">
        <v>135</v>
      </c>
      <c r="D14" s="10" t="s">
        <v>115</v>
      </c>
      <c r="E14" s="10" t="s">
        <v>61</v>
      </c>
      <c r="F14" s="11" t="n">
        <v>40</v>
      </c>
      <c r="G14" s="11"/>
      <c r="H14" s="11"/>
      <c r="I14" s="15" t="s">
        <v>56</v>
      </c>
      <c r="J14" s="15" t="n">
        <v>15</v>
      </c>
      <c r="K14" s="15" t="s">
        <v>61</v>
      </c>
      <c r="L14" s="15" t="n">
        <v>10</v>
      </c>
      <c r="M14" s="16" t="s">
        <v>56</v>
      </c>
      <c r="N14" s="16" t="n">
        <v>15</v>
      </c>
      <c r="O14" s="16" t="s">
        <v>51</v>
      </c>
      <c r="P14" s="16" t="n">
        <v>20</v>
      </c>
      <c r="Q14" s="17"/>
    </row>
    <row r="15" customFormat="false" ht="26.85" hidden="false" customHeight="false" outlineLevel="0" collapsed="false">
      <c r="A15" s="10" t="s">
        <v>61</v>
      </c>
      <c r="B15" s="10" t="s">
        <v>134</v>
      </c>
      <c r="C15" s="10" t="s">
        <v>136</v>
      </c>
      <c r="D15" s="10" t="s">
        <v>115</v>
      </c>
      <c r="E15" s="10" t="s">
        <v>67</v>
      </c>
      <c r="F15" s="11" t="n">
        <v>45</v>
      </c>
      <c r="G15" s="11" t="s">
        <v>57</v>
      </c>
      <c r="H15" s="11" t="n">
        <v>10000</v>
      </c>
      <c r="I15" s="15" t="s">
        <v>67</v>
      </c>
      <c r="J15" s="15" t="n">
        <v>15</v>
      </c>
      <c r="K15" s="15"/>
      <c r="L15" s="15"/>
      <c r="M15" s="16" t="s">
        <v>57</v>
      </c>
      <c r="N15" s="16" t="n">
        <v>7500</v>
      </c>
      <c r="O15" s="16"/>
      <c r="P15" s="16"/>
      <c r="Q15" s="17" t="s">
        <v>137</v>
      </c>
    </row>
    <row r="16" customFormat="false" ht="15" hidden="false" customHeight="false" outlineLevel="0" collapsed="false">
      <c r="A16" s="10" t="s">
        <v>61</v>
      </c>
      <c r="B16" s="10" t="s">
        <v>134</v>
      </c>
      <c r="C16" s="10" t="s">
        <v>138</v>
      </c>
      <c r="D16" s="10" t="s">
        <v>115</v>
      </c>
      <c r="E16" s="10" t="s">
        <v>69</v>
      </c>
      <c r="F16" s="11" t="n">
        <v>60</v>
      </c>
      <c r="G16" s="11" t="s">
        <v>47</v>
      </c>
      <c r="H16" s="11" t="n">
        <v>12</v>
      </c>
      <c r="I16" s="15"/>
      <c r="J16" s="15"/>
      <c r="K16" s="15"/>
      <c r="L16" s="15"/>
      <c r="M16" s="16" t="s">
        <v>57</v>
      </c>
      <c r="N16" s="16" t="n">
        <v>7500</v>
      </c>
      <c r="O16" s="16"/>
      <c r="P16" s="16"/>
      <c r="Q16" s="17"/>
    </row>
    <row r="17" customFormat="false" ht="26.85" hidden="false" customHeight="false" outlineLevel="0" collapsed="false">
      <c r="A17" s="10" t="s">
        <v>61</v>
      </c>
      <c r="B17" s="10" t="s">
        <v>139</v>
      </c>
      <c r="C17" s="10" t="s">
        <v>140</v>
      </c>
      <c r="D17" s="10" t="s">
        <v>115</v>
      </c>
      <c r="E17" s="10" t="s">
        <v>61</v>
      </c>
      <c r="F17" s="11" t="n">
        <v>50</v>
      </c>
      <c r="G17" s="11"/>
      <c r="H17" s="11"/>
      <c r="I17" s="15" t="s">
        <v>61</v>
      </c>
      <c r="J17" s="15" t="n">
        <v>8</v>
      </c>
      <c r="K17" s="15"/>
      <c r="L17" s="15"/>
      <c r="M17" s="16" t="s">
        <v>51</v>
      </c>
      <c r="N17" s="16" t="n">
        <v>15</v>
      </c>
      <c r="O17" s="16"/>
      <c r="P17" s="16"/>
      <c r="Q17" s="17" t="s">
        <v>141</v>
      </c>
    </row>
    <row r="18" customFormat="false" ht="26.85" hidden="false" customHeight="false" outlineLevel="0" collapsed="false">
      <c r="A18" s="10" t="s">
        <v>61</v>
      </c>
      <c r="B18" s="10" t="s">
        <v>139</v>
      </c>
      <c r="C18" s="10" t="s">
        <v>142</v>
      </c>
      <c r="D18" s="10" t="s">
        <v>115</v>
      </c>
      <c r="E18" s="10" t="s">
        <v>69</v>
      </c>
      <c r="F18" s="11" t="n">
        <v>30</v>
      </c>
      <c r="G18" s="11" t="s">
        <v>47</v>
      </c>
      <c r="H18" s="11" t="n">
        <v>5</v>
      </c>
      <c r="I18" s="15"/>
      <c r="J18" s="15"/>
      <c r="K18" s="15"/>
      <c r="L18" s="15"/>
      <c r="M18" s="16" t="s">
        <v>51</v>
      </c>
      <c r="N18" s="16" t="n">
        <v>20</v>
      </c>
      <c r="O18" s="16"/>
      <c r="P18" s="16"/>
      <c r="Q18" s="17" t="s">
        <v>141</v>
      </c>
    </row>
    <row r="19" customFormat="false" ht="26.85" hidden="false" customHeight="false" outlineLevel="0" collapsed="false">
      <c r="A19" s="10" t="s">
        <v>61</v>
      </c>
      <c r="B19" s="10" t="s">
        <v>143</v>
      </c>
      <c r="C19" s="10" t="s">
        <v>144</v>
      </c>
      <c r="D19" s="10" t="s">
        <v>115</v>
      </c>
      <c r="E19" s="10" t="s">
        <v>61</v>
      </c>
      <c r="F19" s="11" t="n">
        <v>50</v>
      </c>
      <c r="G19" s="11"/>
      <c r="H19" s="11"/>
      <c r="I19" s="15" t="s">
        <v>57</v>
      </c>
      <c r="J19" s="15" t="s">
        <v>145</v>
      </c>
      <c r="K19" s="15" t="s">
        <v>61</v>
      </c>
      <c r="L19" s="15" t="n">
        <v>10</v>
      </c>
      <c r="M19" s="16" t="s">
        <v>51</v>
      </c>
      <c r="N19" s="16" t="n">
        <v>20</v>
      </c>
      <c r="O19" s="16"/>
      <c r="P19" s="16"/>
      <c r="Q19" s="17" t="s">
        <v>146</v>
      </c>
    </row>
    <row r="20" customFormat="false" ht="26.85" hidden="false" customHeight="false" outlineLevel="0" collapsed="false">
      <c r="A20" s="10" t="s">
        <v>61</v>
      </c>
      <c r="B20" s="10" t="s">
        <v>143</v>
      </c>
      <c r="C20" s="10" t="s">
        <v>147</v>
      </c>
      <c r="D20" s="10" t="s">
        <v>115</v>
      </c>
      <c r="E20" s="10" t="s">
        <v>65</v>
      </c>
      <c r="F20" s="11" t="n">
        <v>50</v>
      </c>
      <c r="G20" s="11"/>
      <c r="H20" s="11"/>
      <c r="I20" s="15" t="s">
        <v>65</v>
      </c>
      <c r="J20" s="15" t="n">
        <v>12</v>
      </c>
      <c r="K20" s="15" t="s">
        <v>53</v>
      </c>
      <c r="L20" s="15" t="n">
        <v>8</v>
      </c>
      <c r="M20" s="16" t="s">
        <v>57</v>
      </c>
      <c r="N20" s="16" t="n">
        <v>2500</v>
      </c>
      <c r="O20" s="16"/>
      <c r="P20" s="16"/>
      <c r="Q20" s="17" t="s">
        <v>148</v>
      </c>
    </row>
    <row r="21" customFormat="false" ht="15" hidden="false" customHeight="false" outlineLevel="0" collapsed="false">
      <c r="A21" s="10" t="s">
        <v>149</v>
      </c>
      <c r="B21" s="10" t="s">
        <v>150</v>
      </c>
      <c r="C21" s="10" t="s">
        <v>151</v>
      </c>
      <c r="D21" s="10" t="s">
        <v>115</v>
      </c>
      <c r="E21" s="10" t="s">
        <v>67</v>
      </c>
      <c r="F21" s="11" t="n">
        <v>50</v>
      </c>
      <c r="G21" s="11"/>
      <c r="H21" s="11"/>
      <c r="I21" s="15" t="s">
        <v>53</v>
      </c>
      <c r="J21" s="15" t="n">
        <v>25</v>
      </c>
      <c r="K21" s="15"/>
      <c r="L21" s="15"/>
      <c r="M21" s="16" t="s">
        <v>53</v>
      </c>
      <c r="N21" s="16" t="n">
        <v>25</v>
      </c>
      <c r="O21" s="16"/>
      <c r="P21" s="16"/>
      <c r="Q21" s="17"/>
    </row>
    <row r="22" customFormat="false" ht="15" hidden="false" customHeight="false" outlineLevel="0" collapsed="false">
      <c r="A22" s="10" t="s">
        <v>149</v>
      </c>
      <c r="B22" s="10" t="s">
        <v>150</v>
      </c>
      <c r="C22" s="10" t="s">
        <v>152</v>
      </c>
      <c r="D22" s="10" t="s">
        <v>115</v>
      </c>
      <c r="E22" s="10" t="s">
        <v>67</v>
      </c>
      <c r="F22" s="11" t="n">
        <v>75</v>
      </c>
      <c r="G22" s="11"/>
      <c r="H22" s="11"/>
      <c r="I22" s="15" t="s">
        <v>53</v>
      </c>
      <c r="J22" s="15" t="n">
        <v>10</v>
      </c>
      <c r="K22" s="15"/>
      <c r="L22" s="15"/>
      <c r="M22" s="16" t="s">
        <v>53</v>
      </c>
      <c r="N22" s="16" t="n">
        <v>35</v>
      </c>
      <c r="O22" s="16"/>
      <c r="P22" s="16"/>
      <c r="Q22" s="17"/>
    </row>
    <row r="23" customFormat="false" ht="26.85" hidden="false" customHeight="false" outlineLevel="0" collapsed="false">
      <c r="A23" s="10" t="s">
        <v>149</v>
      </c>
      <c r="B23" s="10" t="s">
        <v>153</v>
      </c>
      <c r="C23" s="10" t="s">
        <v>154</v>
      </c>
      <c r="D23" s="10" t="s">
        <v>126</v>
      </c>
      <c r="E23" s="18" t="s">
        <v>127</v>
      </c>
      <c r="F23" s="19"/>
      <c r="G23" s="11" t="s">
        <v>47</v>
      </c>
      <c r="H23" s="11" t="n">
        <v>10</v>
      </c>
      <c r="I23" s="15" t="s">
        <v>53</v>
      </c>
      <c r="J23" s="15" t="n">
        <v>10</v>
      </c>
      <c r="K23" s="15"/>
      <c r="L23" s="15"/>
      <c r="M23" s="16"/>
      <c r="N23" s="16"/>
      <c r="O23" s="16"/>
      <c r="P23" s="16"/>
      <c r="Q23" s="17" t="s">
        <v>155</v>
      </c>
    </row>
    <row r="24" customFormat="false" ht="26.85" hidden="false" customHeight="false" outlineLevel="0" collapsed="false">
      <c r="A24" s="10" t="s">
        <v>149</v>
      </c>
      <c r="B24" s="10" t="s">
        <v>153</v>
      </c>
      <c r="C24" s="10" t="s">
        <v>156</v>
      </c>
      <c r="D24" s="10" t="s">
        <v>115</v>
      </c>
      <c r="E24" s="10" t="s">
        <v>67</v>
      </c>
      <c r="F24" s="11" t="n">
        <v>40</v>
      </c>
      <c r="G24" s="11"/>
      <c r="H24" s="11"/>
      <c r="I24" s="15" t="s">
        <v>67</v>
      </c>
      <c r="J24" s="15" t="n">
        <v>15</v>
      </c>
      <c r="K24" s="15" t="s">
        <v>53</v>
      </c>
      <c r="L24" s="15" t="n">
        <v>8</v>
      </c>
      <c r="M24" s="16" t="s">
        <v>53</v>
      </c>
      <c r="N24" s="16" t="n">
        <v>15</v>
      </c>
      <c r="O24" s="16"/>
      <c r="P24" s="16"/>
      <c r="Q24" s="17" t="s">
        <v>157</v>
      </c>
    </row>
    <row r="25" customFormat="false" ht="26.85" hidden="false" customHeight="false" outlineLevel="0" collapsed="false">
      <c r="A25" s="10" t="s">
        <v>56</v>
      </c>
      <c r="B25" s="10" t="s">
        <v>158</v>
      </c>
      <c r="C25" s="10" t="s">
        <v>159</v>
      </c>
      <c r="D25" s="10" t="s">
        <v>115</v>
      </c>
      <c r="E25" s="10" t="s">
        <v>67</v>
      </c>
      <c r="F25" s="11" t="n">
        <v>50</v>
      </c>
      <c r="G25" s="11" t="s">
        <v>47</v>
      </c>
      <c r="H25" s="11" t="n">
        <v>5</v>
      </c>
      <c r="I25" s="15" t="s">
        <v>56</v>
      </c>
      <c r="J25" s="15" t="n">
        <v>17</v>
      </c>
      <c r="K25" s="15" t="s">
        <v>67</v>
      </c>
      <c r="L25" s="15" t="n">
        <v>12</v>
      </c>
      <c r="M25" s="16" t="s">
        <v>57</v>
      </c>
      <c r="N25" s="16" t="n">
        <v>2500</v>
      </c>
      <c r="O25" s="16" t="s">
        <v>47</v>
      </c>
      <c r="P25" s="16" t="n">
        <v>15</v>
      </c>
      <c r="Q25" s="17" t="s">
        <v>160</v>
      </c>
    </row>
    <row r="26" customFormat="false" ht="39.55" hidden="false" customHeight="false" outlineLevel="0" collapsed="false">
      <c r="A26" s="10" t="s">
        <v>56</v>
      </c>
      <c r="B26" s="10" t="s">
        <v>158</v>
      </c>
      <c r="C26" s="10" t="s">
        <v>161</v>
      </c>
      <c r="D26" s="10" t="s">
        <v>115</v>
      </c>
      <c r="E26" s="10" t="s">
        <v>65</v>
      </c>
      <c r="F26" s="11" t="n">
        <v>40</v>
      </c>
      <c r="G26" s="11" t="s">
        <v>57</v>
      </c>
      <c r="H26" s="11" t="n">
        <v>2000</v>
      </c>
      <c r="I26" s="15" t="s">
        <v>57</v>
      </c>
      <c r="J26" s="15" t="n">
        <v>10000</v>
      </c>
      <c r="K26" s="15" t="s">
        <v>56</v>
      </c>
      <c r="L26" s="15" t="n">
        <v>20</v>
      </c>
      <c r="M26" s="16" t="s">
        <v>51</v>
      </c>
      <c r="N26" s="16" t="n">
        <v>12</v>
      </c>
      <c r="O26" s="16" t="s">
        <v>56</v>
      </c>
      <c r="P26" s="16" t="n">
        <v>18</v>
      </c>
      <c r="Q26" s="17" t="s">
        <v>162</v>
      </c>
    </row>
    <row r="27" customFormat="false" ht="15" hidden="false" customHeight="false" outlineLevel="0" collapsed="false">
      <c r="A27" s="10" t="s">
        <v>56</v>
      </c>
      <c r="B27" s="10" t="s">
        <v>158</v>
      </c>
      <c r="C27" s="10" t="s">
        <v>125</v>
      </c>
      <c r="D27" s="10" t="s">
        <v>126</v>
      </c>
      <c r="E27" s="18" t="s">
        <v>127</v>
      </c>
      <c r="F27" s="19"/>
      <c r="G27" s="11" t="s">
        <v>56</v>
      </c>
      <c r="H27" s="11" t="n">
        <v>7</v>
      </c>
      <c r="I27" s="15"/>
      <c r="J27" s="15"/>
      <c r="K27" s="15"/>
      <c r="L27" s="15"/>
      <c r="M27" s="16"/>
      <c r="N27" s="16"/>
      <c r="O27" s="16"/>
      <c r="P27" s="16"/>
      <c r="Q27" s="17" t="s">
        <v>163</v>
      </c>
    </row>
    <row r="28" customFormat="false" ht="26.85" hidden="false" customHeight="false" outlineLevel="0" collapsed="false">
      <c r="A28" s="10" t="s">
        <v>56</v>
      </c>
      <c r="B28" s="10" t="s">
        <v>164</v>
      </c>
      <c r="C28" s="10" t="s">
        <v>165</v>
      </c>
      <c r="D28" s="10" t="s">
        <v>115</v>
      </c>
      <c r="E28" s="10" t="s">
        <v>67</v>
      </c>
      <c r="F28" s="11" t="n">
        <v>40</v>
      </c>
      <c r="G28" s="11" t="s">
        <v>57</v>
      </c>
      <c r="H28" s="11" t="n">
        <v>2500</v>
      </c>
      <c r="I28" s="15" t="s">
        <v>57</v>
      </c>
      <c r="J28" s="15" t="s">
        <v>166</v>
      </c>
      <c r="K28" s="15" t="s">
        <v>67</v>
      </c>
      <c r="L28" s="15" t="n">
        <v>12</v>
      </c>
      <c r="M28" s="16" t="s">
        <v>57</v>
      </c>
      <c r="N28" s="16" t="s">
        <v>167</v>
      </c>
      <c r="O28" s="16" t="s">
        <v>47</v>
      </c>
      <c r="P28" s="16" t="n">
        <v>15</v>
      </c>
      <c r="Q28" s="17" t="s">
        <v>168</v>
      </c>
    </row>
    <row r="29" customFormat="false" ht="26.85" hidden="false" customHeight="false" outlineLevel="0" collapsed="false">
      <c r="A29" s="10" t="s">
        <v>56</v>
      </c>
      <c r="B29" s="10" t="s">
        <v>164</v>
      </c>
      <c r="C29" s="10" t="s">
        <v>169</v>
      </c>
      <c r="D29" s="10" t="s">
        <v>115</v>
      </c>
      <c r="E29" s="10" t="s">
        <v>69</v>
      </c>
      <c r="F29" s="11" t="n">
        <v>85</v>
      </c>
      <c r="G29" s="11"/>
      <c r="H29" s="11"/>
      <c r="I29" s="15"/>
      <c r="J29" s="15"/>
      <c r="K29" s="15"/>
      <c r="L29" s="15"/>
      <c r="M29" s="16" t="s">
        <v>57</v>
      </c>
      <c r="N29" s="16" t="s">
        <v>167</v>
      </c>
      <c r="O29" s="16" t="s">
        <v>47</v>
      </c>
      <c r="P29" s="16" t="n">
        <v>10</v>
      </c>
      <c r="Q29" s="17" t="s">
        <v>170</v>
      </c>
    </row>
    <row r="31" customFormat="false" ht="15" hidden="false" customHeight="false" outlineLevel="0" collapsed="false">
      <c r="A31" s="12" t="s">
        <v>171</v>
      </c>
    </row>
    <row r="32" customFormat="false" ht="15" hidden="false" customHeight="false" outlineLevel="0" collapsed="false">
      <c r="A32" s="12" t="s">
        <v>172</v>
      </c>
    </row>
  </sheetData>
  <dataValidations count="2">
    <dataValidation allowBlank="true" errorStyle="stop" operator="between" showDropDown="false" showErrorMessage="false" showInputMessage="false" sqref="E5:E29" type="list">
      <formula1>"Combat,Mécanique,Relationnel,Exploration,—"</formula1>
      <formula2>0</formula2>
    </dataValidation>
    <dataValidation allowBlank="true" errorStyle="stop" operator="between" showDropDown="false" showErrorMessage="false" showInputMessage="false" sqref="G5:G29 I5:I29 K5:K29 M5:M29 O5:O29" type="list">
      <formula1>"Carburant,Coque,Moral,Réputation,Monnaie de Run,Combat,Mécanique,Relationnel,Exploration"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173</v>
      </c>
    </row>
    <row r="3" customFormat="false" ht="15" hidden="false" customHeight="false" outlineLevel="0" collapsed="false">
      <c r="A3" s="9" t="s">
        <v>174</v>
      </c>
      <c r="B3" s="20"/>
    </row>
    <row r="4" customFormat="false" ht="15" hidden="false" customHeight="false" outlineLevel="0" collapsed="false">
      <c r="A4" s="10" t="s">
        <v>175</v>
      </c>
      <c r="B4" s="11" t="n">
        <v>50</v>
      </c>
    </row>
    <row r="5" customFormat="false" ht="15" hidden="false" customHeight="false" outlineLevel="0" collapsed="false">
      <c r="A5" s="10" t="s">
        <v>176</v>
      </c>
      <c r="B5" s="11" t="n">
        <v>70</v>
      </c>
    </row>
    <row r="6" customFormat="false" ht="15" hidden="false" customHeight="false" outlineLevel="0" collapsed="false">
      <c r="A6" s="10" t="s">
        <v>177</v>
      </c>
      <c r="B6" s="11" t="n">
        <v>8000</v>
      </c>
    </row>
    <row r="7" customFormat="false" ht="15" hidden="false" customHeight="false" outlineLevel="0" collapsed="false">
      <c r="A7" s="10" t="s">
        <v>178</v>
      </c>
      <c r="B7" s="11" t="n">
        <v>12000</v>
      </c>
    </row>
    <row r="8" customFormat="false" ht="15" hidden="false" customHeight="false" outlineLevel="0" collapsed="false">
      <c r="A8" s="10" t="s">
        <v>179</v>
      </c>
      <c r="B8" s="11" t="n">
        <v>20</v>
      </c>
    </row>
    <row r="10" customFormat="false" ht="15" hidden="false" customHeight="false" outlineLevel="0" collapsed="false">
      <c r="A10" s="9" t="s">
        <v>180</v>
      </c>
      <c r="B10" s="20"/>
    </row>
    <row r="11" customFormat="false" ht="15" hidden="false" customHeight="false" outlineLevel="0" collapsed="false">
      <c r="A11" s="10" t="s">
        <v>181</v>
      </c>
      <c r="B11" s="21" t="n">
        <f aca="false">MIN(Statistiques!$D$18,MAX(Statistiques!$D$17,B4+(B5-Statistiques!$D$15)*Statistiques!$D$16))</f>
        <v>64</v>
      </c>
    </row>
    <row r="12" customFormat="false" ht="15" hidden="false" customHeight="false" outlineLevel="0" collapsed="false">
      <c r="A12" s="10" t="s">
        <v>182</v>
      </c>
      <c r="B12" s="21" t="n">
        <f aca="false">MIN(B11,Statistiques!$D$19+B5*Statistiques!$D$20/100)</f>
        <v>12</v>
      </c>
    </row>
    <row r="13" customFormat="false" ht="15" hidden="false" customHeight="false" outlineLevel="0" collapsed="false">
      <c r="A13" s="10" t="s">
        <v>183</v>
      </c>
      <c r="B13" s="21" t="n">
        <f aca="false">Statistiques!$D$21-B5*Statistiques!$D$20/100</f>
        <v>8</v>
      </c>
    </row>
    <row r="14" customFormat="false" ht="15" hidden="false" customHeight="false" outlineLevel="0" collapsed="false">
      <c r="A14" s="10" t="s">
        <v>184</v>
      </c>
      <c r="B14" s="21" t="n">
        <f aca="false">(B6+B7)/2</f>
        <v>10000</v>
      </c>
    </row>
    <row r="15" customFormat="false" ht="15" hidden="false" customHeight="false" outlineLevel="0" collapsed="false">
      <c r="A15" s="10" t="s">
        <v>185</v>
      </c>
      <c r="B15" s="21" t="n">
        <f aca="false">B7*Statistiques!$D$22</f>
        <v>24000</v>
      </c>
    </row>
    <row r="16" customFormat="false" ht="15" hidden="false" customHeight="false" outlineLevel="0" collapsed="false">
      <c r="A16" s="10" t="s">
        <v>186</v>
      </c>
      <c r="B16" s="21" t="n">
        <f aca="false">B8*Statistiques!$D$22</f>
        <v>40</v>
      </c>
    </row>
    <row r="19" customFormat="false" ht="15" hidden="false" customHeight="false" outlineLevel="0" collapsed="false">
      <c r="A19" s="3" t="s">
        <v>187</v>
      </c>
    </row>
    <row r="20" customFormat="false" ht="15" hidden="false" customHeight="false" outlineLevel="0" collapsed="false">
      <c r="A20" s="9" t="s">
        <v>62</v>
      </c>
      <c r="B20" s="9" t="s">
        <v>188</v>
      </c>
      <c r="C20" s="9" t="s">
        <v>189</v>
      </c>
      <c r="D20" s="9" t="s">
        <v>190</v>
      </c>
    </row>
    <row r="21" customFormat="false" ht="15" hidden="false" customHeight="false" outlineLevel="0" collapsed="false">
      <c r="A21" s="10" t="n">
        <v>0</v>
      </c>
      <c r="B21" s="21" t="n">
        <f aca="false">MIN(Statistiques!$D$18,MAX(Statistiques!$D$17,$B$4+(A21-Statistiques!$D$15)*Statistiques!$D$16))</f>
        <v>15</v>
      </c>
      <c r="C21" s="21" t="n">
        <f aca="false">MIN(B21,Statistiques!$D$19+A21*Statistiques!$D$20/100)</f>
        <v>5</v>
      </c>
      <c r="D21" s="21" t="n">
        <f aca="false">Statistiques!$D$21-A21*Statistiques!$D$20/100</f>
        <v>15</v>
      </c>
    </row>
    <row r="22" customFormat="false" ht="15" hidden="false" customHeight="false" outlineLevel="0" collapsed="false">
      <c r="A22" s="10" t="n">
        <v>10</v>
      </c>
      <c r="B22" s="21" t="n">
        <f aca="false">MIN(Statistiques!$D$18,MAX(Statistiques!$D$17,$B$4+(A22-Statistiques!$D$15)*Statistiques!$D$16))</f>
        <v>22</v>
      </c>
      <c r="C22" s="21" t="n">
        <f aca="false">MIN(B22,Statistiques!$D$19+A22*Statistiques!$D$20/100)</f>
        <v>6</v>
      </c>
      <c r="D22" s="21" t="n">
        <f aca="false">Statistiques!$D$21-A22*Statistiques!$D$20/100</f>
        <v>14</v>
      </c>
    </row>
    <row r="23" customFormat="false" ht="15" hidden="false" customHeight="false" outlineLevel="0" collapsed="false">
      <c r="A23" s="10" t="n">
        <v>20</v>
      </c>
      <c r="B23" s="21" t="n">
        <f aca="false">MIN(Statistiques!$D$18,MAX(Statistiques!$D$17,$B$4+(A23-Statistiques!$D$15)*Statistiques!$D$16))</f>
        <v>29</v>
      </c>
      <c r="C23" s="21" t="n">
        <f aca="false">MIN(B23,Statistiques!$D$19+A23*Statistiques!$D$20/100)</f>
        <v>7</v>
      </c>
      <c r="D23" s="21" t="n">
        <f aca="false">Statistiques!$D$21-A23*Statistiques!$D$20/100</f>
        <v>13</v>
      </c>
    </row>
    <row r="24" customFormat="false" ht="15" hidden="false" customHeight="false" outlineLevel="0" collapsed="false">
      <c r="A24" s="10" t="n">
        <v>30</v>
      </c>
      <c r="B24" s="21" t="n">
        <f aca="false">MIN(Statistiques!$D$18,MAX(Statistiques!$D$17,$B$4+(A24-Statistiques!$D$15)*Statistiques!$D$16))</f>
        <v>36</v>
      </c>
      <c r="C24" s="21" t="n">
        <f aca="false">MIN(B24,Statistiques!$D$19+A24*Statistiques!$D$20/100)</f>
        <v>8</v>
      </c>
      <c r="D24" s="21" t="n">
        <f aca="false">Statistiques!$D$21-A24*Statistiques!$D$20/100</f>
        <v>12</v>
      </c>
    </row>
    <row r="25" customFormat="false" ht="15" hidden="false" customHeight="false" outlineLevel="0" collapsed="false">
      <c r="A25" s="10" t="n">
        <v>40</v>
      </c>
      <c r="B25" s="21" t="n">
        <f aca="false">MIN(Statistiques!$D$18,MAX(Statistiques!$D$17,$B$4+(A25-Statistiques!$D$15)*Statistiques!$D$16))</f>
        <v>43</v>
      </c>
      <c r="C25" s="21" t="n">
        <f aca="false">MIN(B25,Statistiques!$D$19+A25*Statistiques!$D$20/100)</f>
        <v>9</v>
      </c>
      <c r="D25" s="21" t="n">
        <f aca="false">Statistiques!$D$21-A25*Statistiques!$D$20/100</f>
        <v>11</v>
      </c>
    </row>
    <row r="26" customFormat="false" ht="15" hidden="false" customHeight="false" outlineLevel="0" collapsed="false">
      <c r="A26" s="10" t="n">
        <v>50</v>
      </c>
      <c r="B26" s="21" t="n">
        <f aca="false">MIN(Statistiques!$D$18,MAX(Statistiques!$D$17,$B$4+(A26-Statistiques!$D$15)*Statistiques!$D$16))</f>
        <v>50</v>
      </c>
      <c r="C26" s="21" t="n">
        <f aca="false">MIN(B26,Statistiques!$D$19+A26*Statistiques!$D$20/100)</f>
        <v>10</v>
      </c>
      <c r="D26" s="21" t="n">
        <f aca="false">Statistiques!$D$21-A26*Statistiques!$D$20/100</f>
        <v>10</v>
      </c>
    </row>
    <row r="27" customFormat="false" ht="15" hidden="false" customHeight="false" outlineLevel="0" collapsed="false">
      <c r="A27" s="10" t="n">
        <v>60</v>
      </c>
      <c r="B27" s="21" t="n">
        <f aca="false">MIN(Statistiques!$D$18,MAX(Statistiques!$D$17,$B$4+(A27-Statistiques!$D$15)*Statistiques!$D$16))</f>
        <v>57</v>
      </c>
      <c r="C27" s="21" t="n">
        <f aca="false">MIN(B27,Statistiques!$D$19+A27*Statistiques!$D$20/100)</f>
        <v>11</v>
      </c>
      <c r="D27" s="21" t="n">
        <f aca="false">Statistiques!$D$21-A27*Statistiques!$D$20/100</f>
        <v>9</v>
      </c>
    </row>
    <row r="28" customFormat="false" ht="15" hidden="false" customHeight="false" outlineLevel="0" collapsed="false">
      <c r="A28" s="10" t="n">
        <v>70</v>
      </c>
      <c r="B28" s="21" t="n">
        <f aca="false">MIN(Statistiques!$D$18,MAX(Statistiques!$D$17,$B$4+(A28-Statistiques!$D$15)*Statistiques!$D$16))</f>
        <v>64</v>
      </c>
      <c r="C28" s="21" t="n">
        <f aca="false">MIN(B28,Statistiques!$D$19+A28*Statistiques!$D$20/100)</f>
        <v>12</v>
      </c>
      <c r="D28" s="21" t="n">
        <f aca="false">Statistiques!$D$21-A28*Statistiques!$D$20/100</f>
        <v>8</v>
      </c>
    </row>
    <row r="29" customFormat="false" ht="15" hidden="false" customHeight="false" outlineLevel="0" collapsed="false">
      <c r="A29" s="10" t="n">
        <v>80</v>
      </c>
      <c r="B29" s="21" t="n">
        <f aca="false">MIN(Statistiques!$D$18,MAX(Statistiques!$D$17,$B$4+(A29-Statistiques!$D$15)*Statistiques!$D$16))</f>
        <v>71</v>
      </c>
      <c r="C29" s="21" t="n">
        <f aca="false">MIN(B29,Statistiques!$D$19+A29*Statistiques!$D$20/100)</f>
        <v>13</v>
      </c>
      <c r="D29" s="21" t="n">
        <f aca="false">Statistiques!$D$21-A29*Statistiques!$D$20/100</f>
        <v>7</v>
      </c>
    </row>
    <row r="30" customFormat="false" ht="15" hidden="false" customHeight="false" outlineLevel="0" collapsed="false">
      <c r="A30" s="10" t="n">
        <v>90</v>
      </c>
      <c r="B30" s="21" t="n">
        <f aca="false">MIN(Statistiques!$D$18,MAX(Statistiques!$D$17,$B$4+(A30-Statistiques!$D$15)*Statistiques!$D$16))</f>
        <v>78</v>
      </c>
      <c r="C30" s="21" t="n">
        <f aca="false">MIN(B30,Statistiques!$D$19+A30*Statistiques!$D$20/100)</f>
        <v>14</v>
      </c>
      <c r="D30" s="21" t="n">
        <f aca="false">Statistiques!$D$21-A30*Statistiques!$D$20/100</f>
        <v>6</v>
      </c>
    </row>
    <row r="31" customFormat="false" ht="15" hidden="false" customHeight="false" outlineLevel="0" collapsed="false">
      <c r="A31" s="10" t="n">
        <v>100</v>
      </c>
      <c r="B31" s="21" t="n">
        <f aca="false">MIN(Statistiques!$D$18,MAX(Statistiques!$D$17,$B$4+(A31-Statistiques!$D$15)*Statistiques!$D$16))</f>
        <v>85</v>
      </c>
      <c r="C31" s="21" t="n">
        <f aca="false">MIN(B31,Statistiques!$D$19+A31*Statistiques!$D$20/100)</f>
        <v>15</v>
      </c>
      <c r="D31" s="21" t="n">
        <f aca="false">Statistiques!$D$21-A31*Statistiques!$D$20/100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191</v>
      </c>
    </row>
    <row r="3" customFormat="false" ht="15" hidden="false" customHeight="false" outlineLevel="0" collapsed="false">
      <c r="A3" s="3" t="s">
        <v>192</v>
      </c>
    </row>
    <row r="4" customFormat="false" ht="15" hidden="false" customHeight="false" outlineLevel="0" collapsed="false">
      <c r="A4" s="9" t="s">
        <v>193</v>
      </c>
      <c r="B4" s="9" t="s">
        <v>194</v>
      </c>
      <c r="C4" s="9" t="s">
        <v>195</v>
      </c>
    </row>
    <row r="5" customFormat="false" ht="15" hidden="false" customHeight="false" outlineLevel="0" collapsed="false">
      <c r="A5" s="10" t="s">
        <v>196</v>
      </c>
      <c r="B5" s="10" t="s">
        <v>197</v>
      </c>
      <c r="C5" s="10" t="s">
        <v>198</v>
      </c>
      <c r="D5" s="12" t="s">
        <v>199</v>
      </c>
    </row>
    <row r="6" customFormat="false" ht="15" hidden="false" customHeight="false" outlineLevel="0" collapsed="false">
      <c r="A6" s="10" t="s">
        <v>200</v>
      </c>
      <c r="B6" s="11" t="n">
        <v>150</v>
      </c>
      <c r="C6" s="10" t="s">
        <v>198</v>
      </c>
    </row>
    <row r="7" customFormat="false" ht="15" hidden="false" customHeight="false" outlineLevel="0" collapsed="false">
      <c r="A7" s="10" t="s">
        <v>125</v>
      </c>
      <c r="B7" s="10" t="s">
        <v>201</v>
      </c>
      <c r="C7" s="10" t="s">
        <v>202</v>
      </c>
    </row>
    <row r="9" customFormat="false" ht="15" hidden="false" customHeight="false" outlineLevel="0" collapsed="false">
      <c r="A9" s="3" t="s">
        <v>203</v>
      </c>
    </row>
    <row r="10" customFormat="false" ht="31.5" hidden="false" customHeight="true" outlineLevel="0" collapsed="false">
      <c r="A10" s="14" t="s">
        <v>98</v>
      </c>
      <c r="B10" s="14" t="s">
        <v>204</v>
      </c>
      <c r="C10" s="14" t="s">
        <v>205</v>
      </c>
      <c r="D10" s="14" t="s">
        <v>206</v>
      </c>
      <c r="E10" s="14" t="s">
        <v>207</v>
      </c>
      <c r="F10" s="14" t="s">
        <v>208</v>
      </c>
      <c r="G10" s="14" t="s">
        <v>209</v>
      </c>
    </row>
    <row r="11" customFormat="false" ht="15" hidden="false" customHeight="false" outlineLevel="0" collapsed="false">
      <c r="A11" s="10" t="s">
        <v>210</v>
      </c>
      <c r="B11" s="11" t="n">
        <v>50</v>
      </c>
      <c r="C11" s="11" t="n">
        <v>2000</v>
      </c>
      <c r="D11" s="11" t="n">
        <v>5000</v>
      </c>
      <c r="E11" s="11" t="n">
        <v>0</v>
      </c>
      <c r="F11" s="10" t="s">
        <v>202</v>
      </c>
      <c r="G11" s="10"/>
    </row>
    <row r="12" customFormat="false" ht="15" hidden="false" customHeight="false" outlineLevel="0" collapsed="false">
      <c r="A12" s="10" t="s">
        <v>211</v>
      </c>
      <c r="B12" s="11" t="n">
        <v>10</v>
      </c>
      <c r="C12" s="11" t="n">
        <v>15000</v>
      </c>
      <c r="D12" s="11" t="n">
        <v>20000</v>
      </c>
      <c r="E12" s="11" t="s">
        <v>212</v>
      </c>
      <c r="F12" s="10" t="s">
        <v>198</v>
      </c>
      <c r="G12" s="10" t="s">
        <v>213</v>
      </c>
    </row>
    <row r="13" customFormat="false" ht="15" hidden="false" customHeight="false" outlineLevel="0" collapsed="false">
      <c r="A13" s="10" t="s">
        <v>214</v>
      </c>
      <c r="B13" s="11" t="n">
        <v>20</v>
      </c>
      <c r="C13" s="11" t="n">
        <v>0</v>
      </c>
      <c r="D13" s="11" t="n">
        <v>0</v>
      </c>
      <c r="E13" s="11" t="s">
        <v>215</v>
      </c>
      <c r="F13" s="10" t="s">
        <v>202</v>
      </c>
      <c r="G13" s="10" t="s">
        <v>216</v>
      </c>
    </row>
    <row r="14" customFormat="false" ht="15" hidden="false" customHeight="false" outlineLevel="0" collapsed="false">
      <c r="A14" s="10" t="s">
        <v>217</v>
      </c>
      <c r="B14" s="11" t="n">
        <v>20</v>
      </c>
      <c r="C14" s="11" t="n">
        <v>0</v>
      </c>
      <c r="D14" s="11" t="n">
        <v>0</v>
      </c>
      <c r="E14" s="11" t="n">
        <v>0</v>
      </c>
      <c r="F14" s="10" t="s">
        <v>202</v>
      </c>
      <c r="G14" s="10" t="s">
        <v>218</v>
      </c>
    </row>
    <row r="15" customFormat="false" ht="15" hidden="false" customHeight="false" outlineLevel="0" collapsed="false">
      <c r="A15" s="13" t="s">
        <v>219</v>
      </c>
      <c r="B15" s="22" t="n">
        <f aca="false">SUM(B11:B14)</f>
        <v>100</v>
      </c>
    </row>
    <row r="18" customFormat="false" ht="15" hidden="false" customHeight="false" outlineLevel="0" collapsed="false">
      <c r="A18" s="3" t="s">
        <v>220</v>
      </c>
    </row>
    <row r="19" customFormat="false" ht="15" hidden="false" customHeight="false" outlineLevel="0" collapsed="false">
      <c r="A19" s="9" t="s">
        <v>221</v>
      </c>
      <c r="B19" s="9" t="s">
        <v>222</v>
      </c>
      <c r="C19" s="9" t="s">
        <v>223</v>
      </c>
      <c r="D19" s="9" t="s">
        <v>224</v>
      </c>
      <c r="E19" s="9" t="s">
        <v>225</v>
      </c>
    </row>
    <row r="20" customFormat="false" ht="15" hidden="false" customHeight="false" outlineLevel="0" collapsed="false">
      <c r="A20" s="11" t="s">
        <v>226</v>
      </c>
      <c r="B20" s="11" t="s">
        <v>227</v>
      </c>
      <c r="C20" s="11" t="s">
        <v>228</v>
      </c>
      <c r="D20" s="11" t="s">
        <v>229</v>
      </c>
      <c r="E20" s="11" t="s">
        <v>230</v>
      </c>
    </row>
    <row r="21" customFormat="false" ht="15" hidden="false" customHeight="false" outlineLevel="0" collapsed="false">
      <c r="A21" s="11" t="s">
        <v>231</v>
      </c>
      <c r="B21" s="11" t="s">
        <v>232</v>
      </c>
      <c r="C21" s="11" t="s">
        <v>233</v>
      </c>
      <c r="D21" s="11" t="s">
        <v>234</v>
      </c>
      <c r="E21" s="11" t="s">
        <v>235</v>
      </c>
    </row>
    <row r="22" customFormat="false" ht="15" hidden="false" customHeight="false" outlineLevel="0" collapsed="false">
      <c r="A22" s="11" t="s">
        <v>236</v>
      </c>
      <c r="B22" s="11" t="s">
        <v>237</v>
      </c>
      <c r="C22" s="11" t="s">
        <v>238</v>
      </c>
      <c r="D22" s="11" t="s">
        <v>239</v>
      </c>
      <c r="E22" s="11" t="s">
        <v>240</v>
      </c>
    </row>
    <row r="23" customFormat="false" ht="15" hidden="false" customHeight="false" outlineLevel="0" collapsed="false">
      <c r="A23" s="11" t="s">
        <v>241</v>
      </c>
      <c r="B23" s="11" t="s">
        <v>242</v>
      </c>
      <c r="C23" s="11" t="s">
        <v>243</v>
      </c>
      <c r="D23" s="11" t="s">
        <v>244</v>
      </c>
      <c r="E23" s="11" t="s">
        <v>245</v>
      </c>
    </row>
    <row r="24" customFormat="false" ht="15" hidden="false" customHeight="false" outlineLevel="0" collapsed="false">
      <c r="A24" s="11" t="s">
        <v>246</v>
      </c>
      <c r="B24" s="11" t="s">
        <v>247</v>
      </c>
      <c r="C24" s="11" t="s">
        <v>248</v>
      </c>
      <c r="D24" s="11" t="s">
        <v>249</v>
      </c>
      <c r="E24" s="11" t="s">
        <v>250</v>
      </c>
    </row>
    <row r="25" customFormat="false" ht="15" hidden="false" customHeight="false" outlineLevel="0" collapsed="false">
      <c r="D25" s="11" t="s">
        <v>251</v>
      </c>
    </row>
    <row r="28" customFormat="false" ht="15" hidden="false" customHeight="false" outlineLevel="0" collapsed="false">
      <c r="A28" s="12" t="s">
        <v>252</v>
      </c>
    </row>
    <row r="31" customFormat="false" ht="15" hidden="false" customHeight="false" outlineLevel="0" collapsed="false">
      <c r="A31" s="3" t="s">
        <v>253</v>
      </c>
    </row>
    <row r="32" customFormat="false" ht="15" hidden="false" customHeight="false" outlineLevel="0" collapsed="false">
      <c r="A32" s="9" t="s">
        <v>224</v>
      </c>
      <c r="B32" s="9" t="s">
        <v>254</v>
      </c>
      <c r="C32" s="9" t="s">
        <v>221</v>
      </c>
      <c r="D32" s="9" t="s">
        <v>255</v>
      </c>
    </row>
    <row r="33" customFormat="false" ht="15" hidden="false" customHeight="false" outlineLevel="0" collapsed="false">
      <c r="A33" s="10" t="s">
        <v>229</v>
      </c>
      <c r="B33" s="11" t="s">
        <v>256</v>
      </c>
      <c r="C33" s="10" t="s">
        <v>226</v>
      </c>
      <c r="D33" s="11" t="s">
        <v>257</v>
      </c>
    </row>
    <row r="34" customFormat="false" ht="15" hidden="false" customHeight="false" outlineLevel="0" collapsed="false">
      <c r="A34" s="10" t="s">
        <v>234</v>
      </c>
      <c r="B34" s="11" t="s">
        <v>258</v>
      </c>
      <c r="C34" s="10" t="s">
        <v>231</v>
      </c>
      <c r="D34" s="11" t="s">
        <v>259</v>
      </c>
    </row>
    <row r="35" customFormat="false" ht="15" hidden="false" customHeight="false" outlineLevel="0" collapsed="false">
      <c r="A35" s="10" t="s">
        <v>239</v>
      </c>
      <c r="B35" s="11" t="s">
        <v>260</v>
      </c>
      <c r="C35" s="10" t="s">
        <v>236</v>
      </c>
      <c r="D35" s="11" t="s">
        <v>261</v>
      </c>
    </row>
    <row r="36" customFormat="false" ht="15" hidden="false" customHeight="false" outlineLevel="0" collapsed="false">
      <c r="A36" s="10" t="s">
        <v>244</v>
      </c>
      <c r="B36" s="11" t="s">
        <v>262</v>
      </c>
      <c r="C36" s="10" t="s">
        <v>241</v>
      </c>
      <c r="D36" s="11" t="s">
        <v>263</v>
      </c>
    </row>
    <row r="37" customFormat="false" ht="15" hidden="false" customHeight="false" outlineLevel="0" collapsed="false">
      <c r="A37" s="10" t="s">
        <v>249</v>
      </c>
      <c r="B37" s="11" t="s">
        <v>264</v>
      </c>
      <c r="C37" s="10" t="s">
        <v>246</v>
      </c>
      <c r="D37" s="11" t="s">
        <v>265</v>
      </c>
    </row>
    <row r="38" customFormat="false" ht="15" hidden="false" customHeight="false" outlineLevel="0" collapsed="false">
      <c r="A38" s="10" t="s">
        <v>251</v>
      </c>
      <c r="B38" s="11" t="s">
        <v>266</v>
      </c>
      <c r="C38" s="23"/>
      <c r="D38" s="23"/>
    </row>
    <row r="40" customFormat="false" ht="15" hidden="false" customHeight="false" outlineLevel="0" collapsed="false">
      <c r="A40" s="3" t="s">
        <v>267</v>
      </c>
    </row>
    <row r="41" customFormat="false" ht="15" hidden="false" customHeight="false" outlineLevel="0" collapsed="false">
      <c r="A41" s="11" t="s">
        <v>268</v>
      </c>
      <c r="B41" s="11" t="s">
        <v>269</v>
      </c>
      <c r="C41" s="11" t="s">
        <v>270</v>
      </c>
      <c r="D41" s="11" t="s">
        <v>271</v>
      </c>
      <c r="E41" s="11" t="s">
        <v>272</v>
      </c>
      <c r="F41" s="11" t="s">
        <v>273</v>
      </c>
      <c r="G41" s="1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2026-08-02T15:32:37Z</dcterms:created>
  <dc:creator>openpyxl</dc:creator>
  <dc:description/>
  <dc:language>en-US</dc:language>
  <cp:lastModifiedBy/>
  <dcterms:modified xsi:type="dcterms:W3CDTF">2026-08-02T15:33:06Z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